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4A8CA14E-88BB-4F1E-9D9D-5FD94820CE68}" xr6:coauthVersionLast="47" xr6:coauthVersionMax="47" xr10:uidLastSave="{00000000-0000-0000-0000-000000000000}"/>
  <bookViews>
    <workbookView xWindow="-90" yWindow="0" windowWidth="13410" windowHeight="15370" firstSheet="4" activeTab="6" xr2:uid="{1F723860-C267-4C84-B385-FDD8667A7213}"/>
  </bookViews>
  <sheets>
    <sheet name="zapocty001" sheetId="1" r:id="rId1"/>
    <sheet name="claude01" sheetId="2" r:id="rId2"/>
    <sheet name="claude02" sheetId="3" r:id="rId3"/>
    <sheet name="zapocty002" sheetId="4" r:id="rId4"/>
    <sheet name="claude003" sheetId="5" r:id="rId5"/>
    <sheet name="zapocty003" sheetId="6" r:id="rId6"/>
    <sheet name="zapocty004" sheetId="7" r:id="rId7"/>
    <sheet name="Hárok01" sheetId="11" r:id="rId8"/>
    <sheet name="Hárok02" sheetId="12" r:id="rId9"/>
    <sheet name="Hárok03" sheetId="13" r:id="rId10"/>
    <sheet name="Hárok04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7" l="1"/>
  <c r="I19" i="7" s="1"/>
  <c r="F14" i="7" a="1"/>
  <c r="F14" i="7" s="1"/>
  <c r="D23" i="7" s="1" a="1"/>
  <c r="D23" i="7" s="1"/>
  <c r="H18" i="7"/>
  <c r="D21" i="7"/>
  <c r="D20" i="7"/>
  <c r="D19" i="7"/>
  <c r="D18" i="7"/>
  <c r="D17" i="7"/>
  <c r="E12" i="7"/>
  <c r="H9" i="7"/>
  <c r="G18" i="6"/>
  <c r="G17" i="6"/>
  <c r="F3" i="6"/>
  <c r="G10" i="6"/>
  <c r="F16" i="6"/>
  <c r="F15" i="6"/>
  <c r="F12" i="6"/>
  <c r="G9" i="6"/>
  <c r="G7" i="6"/>
  <c r="F6" i="6"/>
  <c r="F4" i="6"/>
  <c r="F2" i="6"/>
  <c r="F14" i="5"/>
  <c r="F13" i="5"/>
  <c r="G11" i="5"/>
  <c r="G10" i="5"/>
  <c r="G9" i="5"/>
  <c r="F8" i="5"/>
  <c r="F7" i="5"/>
  <c r="H3" i="5"/>
  <c r="F5" i="5"/>
  <c r="H2" i="5"/>
  <c r="F11" i="4"/>
  <c r="F9" i="4"/>
  <c r="F8" i="4"/>
  <c r="F7" i="4"/>
  <c r="E6" i="4"/>
  <c r="E5" i="4"/>
  <c r="E3" i="4"/>
  <c r="G2" i="4"/>
  <c r="F10" i="3"/>
  <c r="G9" i="3"/>
  <c r="E5" i="3"/>
  <c r="E4" i="3"/>
  <c r="E3" i="3"/>
  <c r="G8" i="2"/>
  <c r="H7" i="2"/>
  <c r="F5" i="2"/>
  <c r="F4" i="2"/>
  <c r="F3" i="2"/>
  <c r="G10" i="1" l="1"/>
  <c r="H9" i="1"/>
  <c r="F7" i="1"/>
  <c r="F6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<sst xmlns="http://schemas.openxmlformats.org/spreadsheetml/2006/main" count="74" uniqueCount="54">
  <si>
    <t>155,01 135,08 139,45 147,42 136,79 48,56 137,81 144,43 140,85 134,72 149,82 159,84 148,34 162,37 243,94 134,80 58,28 169,34 152,62 147,11 150,89 143,91 153,66 145,57 130,76 158,70 131,04 173,96 146,04 137,02 92,79 74,04 139,54 120,50 164,08</t>
  </si>
  <si>
    <t>n</t>
  </si>
  <si>
    <t>priemer</t>
  </si>
  <si>
    <t>s</t>
  </si>
  <si>
    <t>testovacia charakteristika</t>
  </si>
  <si>
    <t>kriticky obor</t>
  </si>
  <si>
    <t xml:space="preserve">kriticka hodnota je vacsie ako kriticky obor </t>
  </si>
  <si>
    <t>odpoved je nie niesu</t>
  </si>
  <si>
    <t>s odchylka</t>
  </si>
  <si>
    <t>a</t>
  </si>
  <si>
    <t>kriticky bod</t>
  </si>
  <si>
    <t>hladina vyznamnosti je a</t>
  </si>
  <si>
    <t xml:space="preserve">prostredna hodnota </t>
  </si>
  <si>
    <t>median</t>
  </si>
  <si>
    <t xml:space="preserve">rozptyl </t>
  </si>
  <si>
    <t>q1</t>
  </si>
  <si>
    <t>q3</t>
  </si>
  <si>
    <t>kvartilova rozpätie=RQ</t>
  </si>
  <si>
    <t>kvartilova odychlka</t>
  </si>
  <si>
    <t>relatívna q odchylka</t>
  </si>
  <si>
    <t>koeficient spicatosti</t>
  </si>
  <si>
    <t>krivka je spicata</t>
  </si>
  <si>
    <t>prostredna hodnota</t>
  </si>
  <si>
    <t>q2</t>
  </si>
  <si>
    <t>rozptyl</t>
  </si>
  <si>
    <t>kvartilove rozpatie</t>
  </si>
  <si>
    <t>kvartilova odchylka</t>
  </si>
  <si>
    <t>relativna q odchylka</t>
  </si>
  <si>
    <t>sikmost</t>
  </si>
  <si>
    <t>spicatost</t>
  </si>
  <si>
    <t>krivka je plocha a napravo</t>
  </si>
  <si>
    <t>kvantil</t>
  </si>
  <si>
    <t>chyba odhadu</t>
  </si>
  <si>
    <t>dolne ohranicenie</t>
  </si>
  <si>
    <t>horne ohranicenie</t>
  </si>
  <si>
    <t>c)</t>
  </si>
  <si>
    <t>podiel</t>
  </si>
  <si>
    <t>Interval:</t>
  </si>
  <si>
    <t>0-25</t>
  </si>
  <si>
    <t>25-50</t>
  </si>
  <si>
    <t>50-75</t>
  </si>
  <si>
    <t>75-100</t>
  </si>
  <si>
    <t>100-125</t>
  </si>
  <si>
    <t>Stred:</t>
  </si>
  <si>
    <t>Počet (ni):</t>
  </si>
  <si>
    <t>a)</t>
  </si>
  <si>
    <t>najcastejsia hodnota je modus 25 - 50</t>
  </si>
  <si>
    <t>kg</t>
  </si>
  <si>
    <t>b)</t>
  </si>
  <si>
    <t xml:space="preserve">priemer </t>
  </si>
  <si>
    <t xml:space="preserve">smerodajna odchylka </t>
  </si>
  <si>
    <t>kumulativne pocty</t>
  </si>
  <si>
    <t>rq=kvartilove rozpatie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</si>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</sst>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color rgb="FFFFFFFF"/>
      <name val="Segoe UI Historic"/>
      <family val="2"/>
    </font>
    <font>
      <sz val="8"/>
      <color rgb="FFF8F8F6"/>
      <name val="Segoe UI"/>
      <family val="2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center" vertical="center"/>
    </xf>
    <xf numFmtId="16" fontId="0" fillId="0" borderId="0" xfId="0" applyNumberFormat="1"/>
    <xf numFmtId="2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E39A-E461-451F-B7BD-049656D66603}">
  <dimension ref="B3:Q38"/>
  <sheetViews>
    <sheetView workbookViewId="0">
      <selection activeCell="F27" sqref="F27"/>
    </sheetView>
  </sheetViews>
  <sheetFormatPr defaultRowHeight="14.5" x14ac:dyDescent="0.35"/>
  <cols>
    <col min="7" max="7" width="10.36328125" customWidth="1"/>
  </cols>
  <sheetData>
    <row r="3" spans="2:17" x14ac:dyDescent="0.35">
      <c r="B3" s="1" t="s">
        <v>0</v>
      </c>
      <c r="J3" s="3"/>
      <c r="K3" s="2"/>
      <c r="L3" s="2"/>
      <c r="M3" s="2"/>
      <c r="N3" s="2"/>
      <c r="O3" s="2"/>
      <c r="P3" s="2"/>
      <c r="Q3" s="2"/>
    </row>
    <row r="4" spans="2:17" x14ac:dyDescent="0.35">
      <c r="B4" s="4">
        <v>155.01</v>
      </c>
      <c r="J4" s="2"/>
      <c r="K4" s="2"/>
      <c r="L4" s="2"/>
      <c r="M4" s="2"/>
      <c r="N4" s="2"/>
      <c r="O4" s="2"/>
      <c r="P4" s="2"/>
      <c r="Q4" s="2"/>
    </row>
    <row r="5" spans="2:17" x14ac:dyDescent="0.35">
      <c r="B5" s="4">
        <v>135.08000000000001</v>
      </c>
      <c r="E5" t="s">
        <v>1</v>
      </c>
      <c r="F5">
        <f>COUNT(B4:B38)</f>
        <v>35</v>
      </c>
      <c r="J5" s="2"/>
      <c r="K5" s="2"/>
      <c r="L5" s="2"/>
      <c r="M5" s="2"/>
      <c r="N5" s="2"/>
      <c r="O5" s="2"/>
      <c r="P5" s="2"/>
      <c r="Q5" s="2"/>
    </row>
    <row r="6" spans="2:17" x14ac:dyDescent="0.35">
      <c r="B6" s="4">
        <v>139.44999999999999</v>
      </c>
      <c r="E6" t="s">
        <v>2</v>
      </c>
      <c r="F6">
        <f>AVERAGE(B4:B38)</f>
        <v>140.25942857142857</v>
      </c>
      <c r="J6" s="2"/>
      <c r="K6" s="2"/>
      <c r="L6" s="2"/>
      <c r="M6" s="2"/>
      <c r="N6" s="2"/>
      <c r="O6" s="2"/>
      <c r="P6" s="2"/>
      <c r="Q6" s="2"/>
    </row>
    <row r="7" spans="2:17" x14ac:dyDescent="0.35">
      <c r="B7" s="4">
        <v>147.41999999999999</v>
      </c>
      <c r="E7" t="s">
        <v>3</v>
      </c>
      <c r="F7">
        <f>STDEV(B4:B38)</f>
        <v>33.418831072497134</v>
      </c>
      <c r="J7" s="2"/>
      <c r="K7" s="2"/>
      <c r="L7" s="2"/>
      <c r="M7" s="2"/>
      <c r="N7" s="2"/>
      <c r="O7" s="2"/>
      <c r="P7" s="2"/>
      <c r="Q7" s="2"/>
    </row>
    <row r="8" spans="2:17" x14ac:dyDescent="0.35">
      <c r="B8" s="4">
        <v>136.79</v>
      </c>
      <c r="J8" s="2"/>
      <c r="K8" s="2"/>
      <c r="L8" s="2"/>
      <c r="M8" s="2"/>
      <c r="N8" s="2"/>
      <c r="O8" s="2"/>
      <c r="P8" s="2"/>
      <c r="Q8" s="2"/>
    </row>
    <row r="9" spans="2:17" x14ac:dyDescent="0.35">
      <c r="B9" s="4">
        <v>48.56</v>
      </c>
      <c r="E9" t="s">
        <v>4</v>
      </c>
      <c r="H9">
        <f>(F6-100)/(F7/(SQRT(F5)))</f>
        <v>7.1270593197553875</v>
      </c>
      <c r="J9" s="2"/>
      <c r="K9" s="2"/>
      <c r="L9" s="2"/>
      <c r="M9" s="2"/>
      <c r="N9" s="2"/>
      <c r="O9" s="2"/>
      <c r="P9" s="2"/>
      <c r="Q9" s="2"/>
    </row>
    <row r="10" spans="2:17" x14ac:dyDescent="0.35">
      <c r="B10" s="4">
        <v>137.81</v>
      </c>
      <c r="E10" t="s">
        <v>5</v>
      </c>
      <c r="G10">
        <f>_xlfn.T.INV(0.1, 34)</f>
        <v>-1.3069515871264279</v>
      </c>
      <c r="J10" s="2"/>
      <c r="K10" s="2"/>
      <c r="L10" s="2"/>
      <c r="M10" s="2"/>
      <c r="N10" s="2"/>
      <c r="O10" s="2"/>
      <c r="P10" s="2"/>
      <c r="Q10" s="2"/>
    </row>
    <row r="11" spans="2:17" x14ac:dyDescent="0.35">
      <c r="B11" s="4">
        <v>144.43</v>
      </c>
      <c r="J11" s="2"/>
      <c r="K11" s="2"/>
      <c r="L11" s="2"/>
      <c r="M11" s="2"/>
      <c r="N11" s="2"/>
      <c r="O11" s="2"/>
      <c r="P11" s="2"/>
      <c r="Q11" s="2"/>
    </row>
    <row r="12" spans="2:17" x14ac:dyDescent="0.35">
      <c r="B12" s="4">
        <v>140.85</v>
      </c>
      <c r="E12" t="s">
        <v>6</v>
      </c>
      <c r="J12" s="2"/>
      <c r="K12" s="2"/>
      <c r="L12" s="2"/>
      <c r="M12" s="2"/>
      <c r="N12" s="2"/>
      <c r="O12" s="2"/>
      <c r="P12" s="2"/>
      <c r="Q12" s="2"/>
    </row>
    <row r="13" spans="2:17" x14ac:dyDescent="0.35">
      <c r="B13" s="4">
        <v>134.72</v>
      </c>
      <c r="J13" s="2"/>
      <c r="K13" s="2"/>
      <c r="L13" s="2"/>
      <c r="M13" s="2"/>
      <c r="N13" s="2"/>
      <c r="O13" s="2"/>
      <c r="P13" s="2"/>
      <c r="Q13" s="2"/>
    </row>
    <row r="14" spans="2:17" x14ac:dyDescent="0.35">
      <c r="B14" s="4">
        <v>149.82</v>
      </c>
      <c r="E14" t="s">
        <v>7</v>
      </c>
      <c r="J14" s="2"/>
      <c r="K14" s="2"/>
      <c r="L14" s="2"/>
      <c r="M14" s="2"/>
      <c r="N14" s="2"/>
      <c r="O14" s="2"/>
      <c r="P14" s="2"/>
      <c r="Q14" s="2"/>
    </row>
    <row r="15" spans="2:17" x14ac:dyDescent="0.35">
      <c r="B15" s="4">
        <v>159.84</v>
      </c>
      <c r="J15" s="2"/>
      <c r="K15" s="2"/>
      <c r="L15" s="2"/>
      <c r="M15" s="2"/>
      <c r="N15" s="2"/>
      <c r="O15" s="2"/>
      <c r="P15" s="2"/>
      <c r="Q15" s="2"/>
    </row>
    <row r="16" spans="2:17" x14ac:dyDescent="0.35">
      <c r="B16" s="4">
        <v>148.34</v>
      </c>
      <c r="J16" s="2"/>
      <c r="K16" s="2"/>
      <c r="L16" s="2"/>
      <c r="M16" s="2"/>
      <c r="N16" s="2"/>
      <c r="O16" s="2"/>
      <c r="P16" s="2"/>
      <c r="Q16" s="2"/>
    </row>
    <row r="17" spans="2:17" x14ac:dyDescent="0.35">
      <c r="B17" s="4">
        <v>162.37</v>
      </c>
      <c r="J17" s="2"/>
      <c r="K17" s="2"/>
      <c r="L17" s="2"/>
      <c r="M17" s="2"/>
      <c r="N17" s="2"/>
      <c r="O17" s="2"/>
      <c r="P17" s="2"/>
      <c r="Q17" s="2"/>
    </row>
    <row r="18" spans="2:17" x14ac:dyDescent="0.35">
      <c r="B18" s="4">
        <v>243.94</v>
      </c>
      <c r="J18" s="2"/>
      <c r="K18" s="2"/>
      <c r="L18" s="2"/>
      <c r="M18" s="2"/>
      <c r="N18" s="2"/>
      <c r="O18" s="2"/>
      <c r="P18" s="2"/>
      <c r="Q18" s="2"/>
    </row>
    <row r="19" spans="2:17" x14ac:dyDescent="0.35">
      <c r="B19" s="4">
        <v>134.80000000000001</v>
      </c>
      <c r="J19" s="2"/>
      <c r="K19" s="2"/>
      <c r="L19" s="2"/>
      <c r="M19" s="2"/>
      <c r="N19" s="2"/>
      <c r="O19" s="2"/>
      <c r="P19" s="2"/>
      <c r="Q19" s="2"/>
    </row>
    <row r="20" spans="2:17" x14ac:dyDescent="0.35">
      <c r="B20" s="4">
        <v>58.28</v>
      </c>
      <c r="J20" s="2"/>
      <c r="K20" s="2"/>
      <c r="L20" s="2"/>
      <c r="M20" s="2"/>
      <c r="N20" s="2"/>
      <c r="O20" s="2"/>
      <c r="P20" s="2"/>
      <c r="Q20" s="2"/>
    </row>
    <row r="21" spans="2:17" x14ac:dyDescent="0.35">
      <c r="B21" s="4">
        <v>169.34</v>
      </c>
      <c r="J21" s="2"/>
      <c r="K21" s="2"/>
      <c r="L21" s="2"/>
      <c r="M21" s="2"/>
      <c r="N21" s="2"/>
      <c r="O21" s="2"/>
      <c r="P21" s="2"/>
      <c r="Q21" s="2"/>
    </row>
    <row r="22" spans="2:17" x14ac:dyDescent="0.35">
      <c r="B22" s="4">
        <v>152.62</v>
      </c>
      <c r="J22" s="2"/>
      <c r="K22" s="2"/>
      <c r="L22" s="2"/>
      <c r="M22" s="2"/>
      <c r="N22" s="2"/>
      <c r="O22" s="2"/>
      <c r="P22" s="2"/>
      <c r="Q22" s="2"/>
    </row>
    <row r="23" spans="2:17" x14ac:dyDescent="0.35">
      <c r="B23" s="4">
        <v>147.11000000000001</v>
      </c>
    </row>
    <row r="24" spans="2:17" x14ac:dyDescent="0.35">
      <c r="B24" s="4">
        <v>150.88999999999999</v>
      </c>
    </row>
    <row r="25" spans="2:17" x14ac:dyDescent="0.35">
      <c r="B25" s="4">
        <v>143.91</v>
      </c>
    </row>
    <row r="26" spans="2:17" x14ac:dyDescent="0.35">
      <c r="B26" s="4">
        <v>153.66</v>
      </c>
    </row>
    <row r="27" spans="2:17" x14ac:dyDescent="0.35">
      <c r="B27" s="4">
        <v>145.57</v>
      </c>
    </row>
    <row r="28" spans="2:17" x14ac:dyDescent="0.35">
      <c r="B28" s="4">
        <v>130.76</v>
      </c>
    </row>
    <row r="29" spans="2:17" x14ac:dyDescent="0.35">
      <c r="B29" s="4">
        <v>158.69999999999999</v>
      </c>
    </row>
    <row r="30" spans="2:17" x14ac:dyDescent="0.35">
      <c r="B30" s="4">
        <v>131.04</v>
      </c>
    </row>
    <row r="31" spans="2:17" x14ac:dyDescent="0.35">
      <c r="B31" s="4">
        <v>173.96</v>
      </c>
    </row>
    <row r="32" spans="2:17" x14ac:dyDescent="0.35">
      <c r="B32" s="4">
        <v>146.04</v>
      </c>
    </row>
    <row r="33" spans="2:2" x14ac:dyDescent="0.35">
      <c r="B33" s="4">
        <v>137.02000000000001</v>
      </c>
    </row>
    <row r="34" spans="2:2" x14ac:dyDescent="0.35">
      <c r="B34" s="4">
        <v>92.79</v>
      </c>
    </row>
    <row r="35" spans="2:2" x14ac:dyDescent="0.35">
      <c r="B35" s="4">
        <v>74.040000000000006</v>
      </c>
    </row>
    <row r="36" spans="2:2" x14ac:dyDescent="0.35">
      <c r="B36" s="4">
        <v>139.54</v>
      </c>
    </row>
    <row r="37" spans="2:2" x14ac:dyDescent="0.35">
      <c r="B37" s="4">
        <v>120.5</v>
      </c>
    </row>
    <row r="38" spans="2:2" x14ac:dyDescent="0.35">
      <c r="B38" s="4">
        <v>164.08</v>
      </c>
    </row>
  </sheetData>
  <mergeCells count="1">
    <mergeCell ref="J3:Q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2C5B-948A-4029-88EB-7675F1D8DB75}">
  <dimension ref="B3:H32"/>
  <sheetViews>
    <sheetView workbookViewId="0">
      <selection activeCell="F3" sqref="F3"/>
    </sheetView>
  </sheetViews>
  <sheetFormatPr defaultRowHeight="14.5" x14ac:dyDescent="0.35"/>
  <sheetData>
    <row r="3" spans="2:8" x14ac:dyDescent="0.35">
      <c r="B3">
        <v>134</v>
      </c>
      <c r="E3" t="s">
        <v>1</v>
      </c>
      <c r="F3">
        <f>COUNT(B3:B32)</f>
        <v>30</v>
      </c>
    </row>
    <row r="4" spans="2:8" x14ac:dyDescent="0.35">
      <c r="B4">
        <v>112</v>
      </c>
      <c r="E4" t="s">
        <v>2</v>
      </c>
      <c r="F4">
        <f>AVERAGE(B3:B32)</f>
        <v>136.06666666666666</v>
      </c>
    </row>
    <row r="5" spans="2:8" x14ac:dyDescent="0.35">
      <c r="B5">
        <v>145</v>
      </c>
      <c r="E5" t="s">
        <v>8</v>
      </c>
      <c r="F5">
        <f>_xlfn.STDEV.S(B3:B32)</f>
        <v>19.708099741027798</v>
      </c>
    </row>
    <row r="6" spans="2:8" x14ac:dyDescent="0.35">
      <c r="B6">
        <v>128</v>
      </c>
    </row>
    <row r="7" spans="2:8" x14ac:dyDescent="0.35">
      <c r="B7">
        <v>167</v>
      </c>
      <c r="E7" t="s">
        <v>4</v>
      </c>
      <c r="H7">
        <f>(F4-120)/(F5/SQRT(F3))</f>
        <v>4.4652076419777318</v>
      </c>
    </row>
    <row r="8" spans="2:8" x14ac:dyDescent="0.35">
      <c r="B8">
        <v>98</v>
      </c>
      <c r="E8" t="s">
        <v>10</v>
      </c>
      <c r="G8">
        <f>_xlfn.T.INV((1-G12),(F3-1))</f>
        <v>1.6991270265334968</v>
      </c>
    </row>
    <row r="9" spans="2:8" x14ac:dyDescent="0.35">
      <c r="B9">
        <v>143</v>
      </c>
    </row>
    <row r="10" spans="2:8" x14ac:dyDescent="0.35">
      <c r="B10">
        <v>156</v>
      </c>
      <c r="F10">
        <v>120</v>
      </c>
    </row>
    <row r="11" spans="2:8" x14ac:dyDescent="0.35">
      <c r="B11">
        <v>121</v>
      </c>
    </row>
    <row r="12" spans="2:8" x14ac:dyDescent="0.35">
      <c r="B12">
        <v>139</v>
      </c>
      <c r="E12" t="s">
        <v>9</v>
      </c>
      <c r="F12" s="5">
        <v>0.05</v>
      </c>
      <c r="G12">
        <v>0.05</v>
      </c>
    </row>
    <row r="13" spans="2:8" x14ac:dyDescent="0.35">
      <c r="B13">
        <v>108</v>
      </c>
    </row>
    <row r="14" spans="2:8" x14ac:dyDescent="0.35">
      <c r="B14">
        <v>172</v>
      </c>
    </row>
    <row r="15" spans="2:8" x14ac:dyDescent="0.35">
      <c r="B15">
        <v>135</v>
      </c>
    </row>
    <row r="16" spans="2:8" x14ac:dyDescent="0.35">
      <c r="B16">
        <v>149</v>
      </c>
    </row>
    <row r="17" spans="2:2" x14ac:dyDescent="0.35">
      <c r="B17">
        <v>116</v>
      </c>
    </row>
    <row r="18" spans="2:2" x14ac:dyDescent="0.35">
      <c r="B18">
        <v>158</v>
      </c>
    </row>
    <row r="19" spans="2:2" x14ac:dyDescent="0.35">
      <c r="B19">
        <v>127</v>
      </c>
    </row>
    <row r="20" spans="2:2" x14ac:dyDescent="0.35">
      <c r="B20">
        <v>141</v>
      </c>
    </row>
    <row r="21" spans="2:2" x14ac:dyDescent="0.35">
      <c r="B21">
        <v>103</v>
      </c>
    </row>
    <row r="22" spans="2:2" x14ac:dyDescent="0.35">
      <c r="B22">
        <v>168</v>
      </c>
    </row>
    <row r="23" spans="2:2" x14ac:dyDescent="0.35">
      <c r="B23">
        <v>132</v>
      </c>
    </row>
    <row r="24" spans="2:2" x14ac:dyDescent="0.35">
      <c r="B24">
        <v>155</v>
      </c>
    </row>
    <row r="25" spans="2:2" x14ac:dyDescent="0.35">
      <c r="B25">
        <v>119</v>
      </c>
    </row>
    <row r="26" spans="2:2" x14ac:dyDescent="0.35">
      <c r="B26">
        <v>146</v>
      </c>
    </row>
    <row r="27" spans="2:2" x14ac:dyDescent="0.35">
      <c r="B27">
        <v>138</v>
      </c>
    </row>
    <row r="28" spans="2:2" x14ac:dyDescent="0.35">
      <c r="B28">
        <v>125</v>
      </c>
    </row>
    <row r="29" spans="2:2" x14ac:dyDescent="0.35">
      <c r="B29">
        <v>161</v>
      </c>
    </row>
    <row r="30" spans="2:2" x14ac:dyDescent="0.35">
      <c r="B30">
        <v>114</v>
      </c>
    </row>
    <row r="31" spans="2:2" x14ac:dyDescent="0.35">
      <c r="B31">
        <v>143</v>
      </c>
    </row>
    <row r="32" spans="2:2" x14ac:dyDescent="0.35">
      <c r="B32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E4AD-2360-4018-8AD7-3235839CC4AF}">
  <dimension ref="B3:H30"/>
  <sheetViews>
    <sheetView workbookViewId="0">
      <selection activeCell="D12" sqref="D12"/>
    </sheetView>
  </sheetViews>
  <sheetFormatPr defaultRowHeight="14.5" x14ac:dyDescent="0.35"/>
  <sheetData>
    <row r="3" spans="2:8" x14ac:dyDescent="0.35">
      <c r="B3">
        <v>987</v>
      </c>
      <c r="D3" t="s">
        <v>1</v>
      </c>
      <c r="E3">
        <f>COUNT(B3:B30)</f>
        <v>28</v>
      </c>
    </row>
    <row r="4" spans="2:8" x14ac:dyDescent="0.35">
      <c r="B4">
        <v>1023</v>
      </c>
      <c r="D4" t="s">
        <v>2</v>
      </c>
      <c r="E4">
        <f>AVERAGE(B3:B30)</f>
        <v>1004.25</v>
      </c>
    </row>
    <row r="5" spans="2:8" x14ac:dyDescent="0.35">
      <c r="B5">
        <v>956</v>
      </c>
      <c r="D5" t="s">
        <v>8</v>
      </c>
      <c r="E5">
        <f>_xlfn.STDEV.P(B3:B30)</f>
        <v>41.115364698439855</v>
      </c>
    </row>
    <row r="6" spans="2:8" x14ac:dyDescent="0.35">
      <c r="B6">
        <v>1045</v>
      </c>
    </row>
    <row r="7" spans="2:8" x14ac:dyDescent="0.35">
      <c r="B7">
        <v>978</v>
      </c>
      <c r="D7" t="s">
        <v>11</v>
      </c>
      <c r="G7" s="5">
        <v>0.05</v>
      </c>
      <c r="H7">
        <v>0.05</v>
      </c>
    </row>
    <row r="8" spans="2:8" x14ac:dyDescent="0.35">
      <c r="B8">
        <v>1034</v>
      </c>
    </row>
    <row r="9" spans="2:8" x14ac:dyDescent="0.35">
      <c r="B9">
        <v>1001</v>
      </c>
      <c r="D9" t="s">
        <v>4</v>
      </c>
      <c r="G9">
        <f>(E4-1000)/(E5/SQRT(E3))</f>
        <v>0.54697036762274842</v>
      </c>
    </row>
    <row r="10" spans="2:8" x14ac:dyDescent="0.35">
      <c r="B10">
        <v>967</v>
      </c>
      <c r="D10" t="s">
        <v>5</v>
      </c>
      <c r="F10">
        <f>_xlfn.T.INV((1-(H7/2)),(E3-1))</f>
        <v>2.0518305164802841</v>
      </c>
    </row>
    <row r="11" spans="2:8" x14ac:dyDescent="0.35">
      <c r="B11">
        <v>1089</v>
      </c>
    </row>
    <row r="12" spans="2:8" x14ac:dyDescent="0.35">
      <c r="B12">
        <v>945</v>
      </c>
    </row>
    <row r="13" spans="2:8" x14ac:dyDescent="0.35">
      <c r="B13">
        <v>1012</v>
      </c>
    </row>
    <row r="14" spans="2:8" x14ac:dyDescent="0.35">
      <c r="B14">
        <v>998</v>
      </c>
    </row>
    <row r="15" spans="2:8" x14ac:dyDescent="0.35">
      <c r="B15">
        <v>1056</v>
      </c>
    </row>
    <row r="16" spans="2:8" x14ac:dyDescent="0.35">
      <c r="B16">
        <v>934</v>
      </c>
    </row>
    <row r="17" spans="2:2" x14ac:dyDescent="0.35">
      <c r="B17">
        <v>1078</v>
      </c>
    </row>
    <row r="18" spans="2:2" x14ac:dyDescent="0.35">
      <c r="B18">
        <v>1003</v>
      </c>
    </row>
    <row r="19" spans="2:2" x14ac:dyDescent="0.35">
      <c r="B19">
        <v>989</v>
      </c>
    </row>
    <row r="20" spans="2:2" x14ac:dyDescent="0.35">
      <c r="B20">
        <v>1067</v>
      </c>
    </row>
    <row r="21" spans="2:2" x14ac:dyDescent="0.35">
      <c r="B21">
        <v>943</v>
      </c>
    </row>
    <row r="22" spans="2:2" x14ac:dyDescent="0.35">
      <c r="B22">
        <v>1021</v>
      </c>
    </row>
    <row r="23" spans="2:2" x14ac:dyDescent="0.35">
      <c r="B23">
        <v>976</v>
      </c>
    </row>
    <row r="24" spans="2:2" x14ac:dyDescent="0.35">
      <c r="B24">
        <v>1048</v>
      </c>
    </row>
    <row r="25" spans="2:2" x14ac:dyDescent="0.35">
      <c r="B25">
        <v>1005</v>
      </c>
    </row>
    <row r="26" spans="2:2" x14ac:dyDescent="0.35">
      <c r="B26">
        <v>962</v>
      </c>
    </row>
    <row r="27" spans="2:2" x14ac:dyDescent="0.35">
      <c r="B27">
        <v>1031</v>
      </c>
    </row>
    <row r="28" spans="2:2" x14ac:dyDescent="0.35">
      <c r="B28">
        <v>994</v>
      </c>
    </row>
    <row r="29" spans="2:2" x14ac:dyDescent="0.35">
      <c r="B29">
        <v>1019</v>
      </c>
    </row>
    <row r="30" spans="2:2" x14ac:dyDescent="0.35">
      <c r="B30">
        <v>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6A4CD-C1FA-4453-8991-098D653AD571}">
  <dimension ref="B2:G49"/>
  <sheetViews>
    <sheetView workbookViewId="0">
      <selection activeCell="E5" sqref="E5"/>
    </sheetView>
  </sheetViews>
  <sheetFormatPr defaultRowHeight="14.5" x14ac:dyDescent="0.35"/>
  <cols>
    <col min="5" max="5" width="11.81640625" bestFit="1" customWidth="1"/>
  </cols>
  <sheetData>
    <row r="2" spans="2:7" x14ac:dyDescent="0.35">
      <c r="B2">
        <v>36891.9</v>
      </c>
      <c r="D2" t="s">
        <v>12</v>
      </c>
      <c r="F2" t="s">
        <v>13</v>
      </c>
      <c r="G2">
        <f>MEDIAN(B2:B49)</f>
        <v>49684.934999999998</v>
      </c>
    </row>
    <row r="3" spans="2:7" x14ac:dyDescent="0.35">
      <c r="B3">
        <v>66872.58</v>
      </c>
      <c r="D3" t="s">
        <v>14</v>
      </c>
      <c r="E3">
        <f>_xlfn.VAR.P(B2:B49)</f>
        <v>825865919.18396127</v>
      </c>
    </row>
    <row r="4" spans="2:7" x14ac:dyDescent="0.35">
      <c r="B4">
        <v>98449.13</v>
      </c>
    </row>
    <row r="5" spans="2:7" x14ac:dyDescent="0.35">
      <c r="B5">
        <v>55214.15</v>
      </c>
      <c r="D5" t="s">
        <v>15</v>
      </c>
      <c r="E5">
        <f>_xlfn.QUARTILE.INC(B2:B49, 1 )</f>
        <v>26296.714999999997</v>
      </c>
    </row>
    <row r="6" spans="2:7" x14ac:dyDescent="0.35">
      <c r="B6">
        <v>26009.599999999999</v>
      </c>
      <c r="D6" t="s">
        <v>16</v>
      </c>
      <c r="E6">
        <f>_xlfn.QUARTILE.INC(B2:B49,3)</f>
        <v>70699.895000000004</v>
      </c>
    </row>
    <row r="7" spans="2:7" x14ac:dyDescent="0.35">
      <c r="B7">
        <v>88830.31</v>
      </c>
      <c r="D7" t="s">
        <v>17</v>
      </c>
      <c r="F7">
        <f>E6-E5</f>
        <v>44403.180000000008</v>
      </c>
    </row>
    <row r="8" spans="2:7" x14ac:dyDescent="0.35">
      <c r="B8">
        <v>24624.82</v>
      </c>
      <c r="D8" t="s">
        <v>18</v>
      </c>
      <c r="F8">
        <f>(E6-E5)/2</f>
        <v>22201.590000000004</v>
      </c>
    </row>
    <row r="9" spans="2:7" x14ac:dyDescent="0.35">
      <c r="B9">
        <v>37705.25</v>
      </c>
      <c r="D9" t="s">
        <v>19</v>
      </c>
      <c r="F9">
        <f>(F8/G2)*100</f>
        <v>44.684752027953756</v>
      </c>
    </row>
    <row r="10" spans="2:7" x14ac:dyDescent="0.35">
      <c r="B10">
        <v>51059.040000000001</v>
      </c>
    </row>
    <row r="11" spans="2:7" x14ac:dyDescent="0.35">
      <c r="B11">
        <v>76200.320000000007</v>
      </c>
      <c r="D11" t="s">
        <v>20</v>
      </c>
      <c r="F11">
        <f>KURT(B2:B49)</f>
        <v>3.5475772353911861E-2</v>
      </c>
    </row>
    <row r="12" spans="2:7" x14ac:dyDescent="0.35">
      <c r="B12">
        <v>52864.44</v>
      </c>
    </row>
    <row r="13" spans="2:7" x14ac:dyDescent="0.35">
      <c r="B13">
        <v>50678.94</v>
      </c>
      <c r="D13" t="s">
        <v>21</v>
      </c>
    </row>
    <row r="14" spans="2:7" x14ac:dyDescent="0.35">
      <c r="B14">
        <v>20803.080000000002</v>
      </c>
    </row>
    <row r="15" spans="2:7" x14ac:dyDescent="0.35">
      <c r="B15">
        <v>12302.36</v>
      </c>
    </row>
    <row r="16" spans="2:7" x14ac:dyDescent="0.35">
      <c r="B16">
        <v>61240.1</v>
      </c>
    </row>
    <row r="17" spans="2:2" x14ac:dyDescent="0.35">
      <c r="B17">
        <v>80672.17</v>
      </c>
    </row>
    <row r="18" spans="2:2" x14ac:dyDescent="0.35">
      <c r="B18">
        <v>88718.79</v>
      </c>
    </row>
    <row r="19" spans="2:2" x14ac:dyDescent="0.35">
      <c r="B19">
        <v>36308.379999999997</v>
      </c>
    </row>
    <row r="20" spans="2:2" x14ac:dyDescent="0.35">
      <c r="B20">
        <v>11280.05</v>
      </c>
    </row>
    <row r="21" spans="2:2" x14ac:dyDescent="0.35">
      <c r="B21">
        <v>46518.49</v>
      </c>
    </row>
    <row r="22" spans="2:2" x14ac:dyDescent="0.35">
      <c r="B22">
        <v>26392.42</v>
      </c>
    </row>
    <row r="23" spans="2:2" x14ac:dyDescent="0.35">
      <c r="B23">
        <v>90383.26</v>
      </c>
    </row>
    <row r="24" spans="2:2" x14ac:dyDescent="0.35">
      <c r="B24">
        <v>135234.35</v>
      </c>
    </row>
    <row r="25" spans="2:2" x14ac:dyDescent="0.35">
      <c r="B25">
        <v>3338.36</v>
      </c>
    </row>
    <row r="26" spans="2:2" x14ac:dyDescent="0.35">
      <c r="B26">
        <v>5160.28</v>
      </c>
    </row>
    <row r="27" spans="2:2" x14ac:dyDescent="0.35">
      <c r="B27">
        <v>73607.600000000006</v>
      </c>
    </row>
    <row r="28" spans="2:2" x14ac:dyDescent="0.35">
      <c r="B28">
        <v>14155.82</v>
      </c>
    </row>
    <row r="29" spans="2:2" x14ac:dyDescent="0.35">
      <c r="B29">
        <v>69730.66</v>
      </c>
    </row>
    <row r="30" spans="2:2" x14ac:dyDescent="0.35">
      <c r="B30">
        <v>48690.93</v>
      </c>
    </row>
    <row r="31" spans="2:2" x14ac:dyDescent="0.35">
      <c r="B31">
        <v>55286.720000000001</v>
      </c>
    </row>
    <row r="32" spans="2:2" x14ac:dyDescent="0.35">
      <c r="B32">
        <v>54070.73</v>
      </c>
    </row>
    <row r="33" spans="2:2" x14ac:dyDescent="0.35">
      <c r="B33">
        <v>37869.24</v>
      </c>
    </row>
    <row r="34" spans="2:2" x14ac:dyDescent="0.35">
      <c r="B34">
        <v>35107.19</v>
      </c>
    </row>
    <row r="35" spans="2:2" x14ac:dyDescent="0.35">
      <c r="B35">
        <v>33228.65</v>
      </c>
    </row>
    <row r="36" spans="2:2" x14ac:dyDescent="0.35">
      <c r="B36">
        <v>16564.61</v>
      </c>
    </row>
    <row r="37" spans="2:2" x14ac:dyDescent="0.35">
      <c r="B37">
        <v>57382.080000000002</v>
      </c>
    </row>
    <row r="38" spans="2:2" x14ac:dyDescent="0.35">
      <c r="B38">
        <v>80230.460000000006</v>
      </c>
    </row>
    <row r="39" spans="2:2" x14ac:dyDescent="0.35">
      <c r="B39">
        <v>91270.39</v>
      </c>
    </row>
    <row r="40" spans="2:2" x14ac:dyDescent="0.35">
      <c r="B40">
        <v>26537.66</v>
      </c>
    </row>
    <row r="41" spans="2:2" x14ac:dyDescent="0.35">
      <c r="B41">
        <v>12302.36</v>
      </c>
    </row>
    <row r="42" spans="2:2" x14ac:dyDescent="0.35">
      <c r="B42">
        <v>65144.32</v>
      </c>
    </row>
    <row r="43" spans="2:2" x14ac:dyDescent="0.35">
      <c r="B43">
        <v>57871.23</v>
      </c>
    </row>
    <row r="44" spans="2:2" x14ac:dyDescent="0.35">
      <c r="B44">
        <v>22905.34</v>
      </c>
    </row>
    <row r="45" spans="2:2" x14ac:dyDescent="0.35">
      <c r="B45">
        <v>48680.86</v>
      </c>
    </row>
    <row r="46" spans="2:2" x14ac:dyDescent="0.35">
      <c r="B46">
        <v>78493.009999999995</v>
      </c>
    </row>
    <row r="47" spans="2:2" x14ac:dyDescent="0.35">
      <c r="B47">
        <v>42733.33</v>
      </c>
    </row>
    <row r="48" spans="2:2" x14ac:dyDescent="0.35">
      <c r="B48">
        <v>89633.64</v>
      </c>
    </row>
    <row r="49" spans="2:2" x14ac:dyDescent="0.35">
      <c r="B49">
        <v>19843.7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6C44-6D83-4036-905E-A0BCB8CBD60D}">
  <dimension ref="B2:H26"/>
  <sheetViews>
    <sheetView workbookViewId="0">
      <selection activeCell="F13" sqref="F13"/>
    </sheetView>
  </sheetViews>
  <sheetFormatPr defaultRowHeight="14.5" x14ac:dyDescent="0.35"/>
  <sheetData>
    <row r="2" spans="2:8" x14ac:dyDescent="0.35">
      <c r="B2">
        <v>312.5</v>
      </c>
      <c r="E2" t="s">
        <v>22</v>
      </c>
      <c r="G2" t="s">
        <v>13</v>
      </c>
      <c r="H2">
        <f>MEDIAN(B2:B26)</f>
        <v>334.7</v>
      </c>
    </row>
    <row r="3" spans="2:8" x14ac:dyDescent="0.35">
      <c r="B3">
        <v>287.3</v>
      </c>
      <c r="E3" t="s">
        <v>23</v>
      </c>
      <c r="H3">
        <f>_xlfn.QUARTILE.INC(B2:B26,2)</f>
        <v>334.7</v>
      </c>
    </row>
    <row r="4" spans="2:8" x14ac:dyDescent="0.35">
      <c r="B4">
        <v>445.2</v>
      </c>
    </row>
    <row r="5" spans="2:8" x14ac:dyDescent="0.35">
      <c r="B5">
        <v>198.6</v>
      </c>
      <c r="E5" t="s">
        <v>24</v>
      </c>
      <c r="F5">
        <f>_xlfn.VAR.P(B2:B26)</f>
        <v>8107.0157759999756</v>
      </c>
    </row>
    <row r="6" spans="2:8" x14ac:dyDescent="0.35">
      <c r="B6">
        <v>523.4</v>
      </c>
    </row>
    <row r="7" spans="2:8" x14ac:dyDescent="0.35">
      <c r="B7">
        <v>376.8</v>
      </c>
      <c r="E7" t="s">
        <v>15</v>
      </c>
      <c r="F7">
        <f>_xlfn.QUARTILE.INC(B2:B26,1)</f>
        <v>287.3</v>
      </c>
    </row>
    <row r="8" spans="2:8" x14ac:dyDescent="0.35">
      <c r="B8">
        <v>265.10000000000002</v>
      </c>
      <c r="E8" t="s">
        <v>16</v>
      </c>
      <c r="F8">
        <f>_xlfn.QUARTILE.INC(B2:B26,3)</f>
        <v>418.9</v>
      </c>
    </row>
    <row r="9" spans="2:8" x14ac:dyDescent="0.35">
      <c r="B9">
        <v>418.9</v>
      </c>
      <c r="E9" t="s">
        <v>25</v>
      </c>
      <c r="G9">
        <f>F8-F7</f>
        <v>131.59999999999997</v>
      </c>
    </row>
    <row r="10" spans="2:8" x14ac:dyDescent="0.35">
      <c r="B10">
        <v>334.7</v>
      </c>
      <c r="E10" t="s">
        <v>26</v>
      </c>
      <c r="G10">
        <f>G9/2</f>
        <v>65.799999999999983</v>
      </c>
    </row>
    <row r="11" spans="2:8" x14ac:dyDescent="0.35">
      <c r="B11">
        <v>289.39999999999998</v>
      </c>
      <c r="E11" t="s">
        <v>27</v>
      </c>
      <c r="G11">
        <f>(G10/H2)*100</f>
        <v>19.659396474454731</v>
      </c>
    </row>
    <row r="12" spans="2:8" x14ac:dyDescent="0.35">
      <c r="B12">
        <v>502.3</v>
      </c>
    </row>
    <row r="13" spans="2:8" x14ac:dyDescent="0.35">
      <c r="B13">
        <v>241.8</v>
      </c>
      <c r="E13" t="s">
        <v>29</v>
      </c>
      <c r="F13">
        <f>KURT(B2:B26)</f>
        <v>-0.77113093784558018</v>
      </c>
    </row>
    <row r="14" spans="2:8" x14ac:dyDescent="0.35">
      <c r="B14">
        <v>387.6</v>
      </c>
      <c r="E14" t="s">
        <v>28</v>
      </c>
      <c r="F14">
        <f>_xlfn.SKEW.P(B2:B26)</f>
        <v>0.36555535099481901</v>
      </c>
    </row>
    <row r="15" spans="2:8" x14ac:dyDescent="0.35">
      <c r="B15">
        <v>315.2</v>
      </c>
    </row>
    <row r="16" spans="2:8" x14ac:dyDescent="0.35">
      <c r="B16">
        <v>473.1</v>
      </c>
      <c r="E16" t="s">
        <v>30</v>
      </c>
    </row>
    <row r="17" spans="2:2" x14ac:dyDescent="0.35">
      <c r="B17">
        <v>228.4</v>
      </c>
    </row>
    <row r="18" spans="2:2" x14ac:dyDescent="0.35">
      <c r="B18">
        <v>356.9</v>
      </c>
    </row>
    <row r="19" spans="2:2" x14ac:dyDescent="0.35">
      <c r="B19">
        <v>299.7</v>
      </c>
    </row>
    <row r="20" spans="2:2" x14ac:dyDescent="0.35">
      <c r="B20">
        <v>431.5</v>
      </c>
    </row>
    <row r="21" spans="2:2" x14ac:dyDescent="0.35">
      <c r="B21">
        <v>278.60000000000002</v>
      </c>
    </row>
    <row r="22" spans="2:2" x14ac:dyDescent="0.35">
      <c r="B22">
        <v>344.8</v>
      </c>
    </row>
    <row r="23" spans="2:2" x14ac:dyDescent="0.35">
      <c r="B23">
        <v>512.70000000000005</v>
      </c>
    </row>
    <row r="24" spans="2:2" x14ac:dyDescent="0.35">
      <c r="B24">
        <v>263.39999999999998</v>
      </c>
    </row>
    <row r="25" spans="2:2" x14ac:dyDescent="0.35">
      <c r="B25">
        <v>395.2</v>
      </c>
    </row>
    <row r="26" spans="2:2" x14ac:dyDescent="0.35">
      <c r="B26">
        <v>318.60000000000002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984F-54A5-475E-BC85-99D88B57D41A}">
  <dimension ref="B2:G25"/>
  <sheetViews>
    <sheetView workbookViewId="0">
      <selection activeCell="G19" sqref="G19"/>
    </sheetView>
  </sheetViews>
  <sheetFormatPr defaultRowHeight="14.5" x14ac:dyDescent="0.35"/>
  <sheetData>
    <row r="2" spans="2:7" x14ac:dyDescent="0.35">
      <c r="B2">
        <v>1091.8399999999999</v>
      </c>
      <c r="E2" t="s">
        <v>1</v>
      </c>
      <c r="F2">
        <f>COUNT(B2:B25)</f>
        <v>24</v>
      </c>
    </row>
    <row r="3" spans="2:7" x14ac:dyDescent="0.35">
      <c r="B3">
        <v>781.81</v>
      </c>
      <c r="E3" t="s">
        <v>2</v>
      </c>
      <c r="F3">
        <f>AVERAGE(B2:B25)</f>
        <v>1211.1633333333332</v>
      </c>
    </row>
    <row r="4" spans="2:7" x14ac:dyDescent="0.35">
      <c r="B4">
        <v>1162.95</v>
      </c>
      <c r="E4" t="s">
        <v>8</v>
      </c>
      <c r="F4">
        <f>_xlfn.STDEV.S(B2:B25)</f>
        <v>468.26944993767012</v>
      </c>
    </row>
    <row r="5" spans="2:7" x14ac:dyDescent="0.35">
      <c r="B5">
        <v>1008.08</v>
      </c>
    </row>
    <row r="6" spans="2:7" x14ac:dyDescent="0.35">
      <c r="B6">
        <v>1860.33</v>
      </c>
      <c r="E6" t="s">
        <v>31</v>
      </c>
      <c r="F6">
        <f>_xlfn.NORM.S.INV(0.95)</f>
        <v>1.6448536269514715</v>
      </c>
    </row>
    <row r="7" spans="2:7" x14ac:dyDescent="0.35">
      <c r="B7">
        <v>1446.1</v>
      </c>
      <c r="E7" t="s">
        <v>32</v>
      </c>
      <c r="G7">
        <f>F6*(500/SQRT(F3))</f>
        <v>23.631751102142534</v>
      </c>
    </row>
    <row r="8" spans="2:7" x14ac:dyDescent="0.35">
      <c r="B8">
        <v>542.22</v>
      </c>
    </row>
    <row r="9" spans="2:7" x14ac:dyDescent="0.35">
      <c r="B9">
        <v>485.85</v>
      </c>
      <c r="E9" t="s">
        <v>33</v>
      </c>
      <c r="G9">
        <f>F3-F6*(500/SQRT(F2))</f>
        <v>1043.2861630167774</v>
      </c>
    </row>
    <row r="10" spans="2:7" x14ac:dyDescent="0.35">
      <c r="B10">
        <v>1795.04</v>
      </c>
      <c r="E10" t="s">
        <v>34</v>
      </c>
      <c r="G10">
        <f>F3+F6*(500/SQRT(F2))</f>
        <v>1379.0405036498889</v>
      </c>
    </row>
    <row r="11" spans="2:7" x14ac:dyDescent="0.35">
      <c r="B11">
        <v>584.70000000000005</v>
      </c>
    </row>
    <row r="12" spans="2:7" x14ac:dyDescent="0.35">
      <c r="B12">
        <v>1569.35</v>
      </c>
      <c r="E12" t="s">
        <v>35</v>
      </c>
      <c r="F12">
        <f>COUNTIF(B2:B25,"&lt;1000")</f>
        <v>7</v>
      </c>
    </row>
    <row r="13" spans="2:7" x14ac:dyDescent="0.35">
      <c r="B13">
        <v>1834.26</v>
      </c>
    </row>
    <row r="14" spans="2:7" x14ac:dyDescent="0.35">
      <c r="B14">
        <v>1484.5</v>
      </c>
    </row>
    <row r="15" spans="2:7" x14ac:dyDescent="0.35">
      <c r="B15">
        <v>1283.1199999999999</v>
      </c>
      <c r="E15" t="s">
        <v>36</v>
      </c>
      <c r="F15">
        <f>7/24</f>
        <v>0.29166666666666669</v>
      </c>
    </row>
    <row r="16" spans="2:7" x14ac:dyDescent="0.35">
      <c r="B16">
        <v>1974.2</v>
      </c>
      <c r="E16" t="s">
        <v>31</v>
      </c>
      <c r="F16">
        <f>_xlfn.NORM.S.INV(0.975)</f>
        <v>1.9599639845400536</v>
      </c>
    </row>
    <row r="17" spans="2:7" x14ac:dyDescent="0.35">
      <c r="B17">
        <v>1288.1400000000001</v>
      </c>
      <c r="E17" t="s">
        <v>33</v>
      </c>
      <c r="G17">
        <f>F15 - F16*SQRT(F15*(1-F15)/24)</f>
        <v>0.10982026609321802</v>
      </c>
    </row>
    <row r="18" spans="2:7" x14ac:dyDescent="0.35">
      <c r="B18">
        <v>1575.51</v>
      </c>
      <c r="E18" t="s">
        <v>34</v>
      </c>
      <c r="G18">
        <f>F15 + F16*SQRT(F15*(1-F15)/24)</f>
        <v>0.47351306724011533</v>
      </c>
    </row>
    <row r="19" spans="2:7" x14ac:dyDescent="0.35">
      <c r="B19">
        <v>1159.8900000000001</v>
      </c>
    </row>
    <row r="20" spans="2:7" x14ac:dyDescent="0.35">
      <c r="B20">
        <v>742.19</v>
      </c>
    </row>
    <row r="21" spans="2:7" x14ac:dyDescent="0.35">
      <c r="B21">
        <v>358.87</v>
      </c>
    </row>
    <row r="22" spans="2:7" x14ac:dyDescent="0.35">
      <c r="B22">
        <v>1563.44</v>
      </c>
    </row>
    <row r="23" spans="2:7" x14ac:dyDescent="0.35">
      <c r="B23">
        <v>1166.4100000000001</v>
      </c>
    </row>
    <row r="24" spans="2:7" x14ac:dyDescent="0.35">
      <c r="B24">
        <v>823.77</v>
      </c>
    </row>
    <row r="25" spans="2:7" x14ac:dyDescent="0.35">
      <c r="B25">
        <v>1485.35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F8C3-79EA-479D-B348-A5732B531B0A}">
  <dimension ref="B2:I23"/>
  <sheetViews>
    <sheetView tabSelected="1" workbookViewId="0">
      <selection activeCell="E34" sqref="E34"/>
    </sheetView>
  </sheetViews>
  <sheetFormatPr defaultRowHeight="14.5" x14ac:dyDescent="0.35"/>
  <cols>
    <col min="5" max="5" width="11" bestFit="1" customWidth="1"/>
  </cols>
  <sheetData>
    <row r="2" spans="2:9" x14ac:dyDescent="0.35">
      <c r="B2" s="6" t="s">
        <v>37</v>
      </c>
      <c r="C2" s="6" t="s">
        <v>43</v>
      </c>
      <c r="D2" s="6" t="s">
        <v>44</v>
      </c>
    </row>
    <row r="3" spans="2:9" x14ac:dyDescent="0.35">
      <c r="B3" t="s">
        <v>38</v>
      </c>
      <c r="C3" s="8">
        <v>12.5</v>
      </c>
      <c r="D3">
        <v>8</v>
      </c>
    </row>
    <row r="4" spans="2:9" x14ac:dyDescent="0.35">
      <c r="B4" t="s">
        <v>39</v>
      </c>
      <c r="C4">
        <v>37.5</v>
      </c>
      <c r="D4">
        <v>32</v>
      </c>
    </row>
    <row r="5" spans="2:9" x14ac:dyDescent="0.35">
      <c r="B5" t="s">
        <v>40</v>
      </c>
      <c r="C5">
        <v>62.5</v>
      </c>
      <c r="D5">
        <v>29</v>
      </c>
    </row>
    <row r="6" spans="2:9" x14ac:dyDescent="0.35">
      <c r="B6" t="s">
        <v>41</v>
      </c>
      <c r="C6">
        <v>87.5</v>
      </c>
      <c r="D6">
        <v>9</v>
      </c>
    </row>
    <row r="7" spans="2:9" x14ac:dyDescent="0.35">
      <c r="B7" t="s">
        <v>42</v>
      </c>
      <c r="C7">
        <v>112.5</v>
      </c>
      <c r="D7">
        <v>4</v>
      </c>
    </row>
    <row r="9" spans="2:9" x14ac:dyDescent="0.35">
      <c r="C9" t="s">
        <v>45</v>
      </c>
      <c r="D9" t="s">
        <v>46</v>
      </c>
      <c r="H9">
        <f>C4</f>
        <v>37.5</v>
      </c>
      <c r="I9" t="s">
        <v>47</v>
      </c>
    </row>
    <row r="11" spans="2:9" x14ac:dyDescent="0.35">
      <c r="C11" t="s">
        <v>48</v>
      </c>
      <c r="D11" t="s">
        <v>49</v>
      </c>
      <c r="E11" s="7"/>
    </row>
    <row r="12" spans="2:9" x14ac:dyDescent="0.35">
      <c r="E12">
        <f>(12.5*8+37.5*32+62.5*29+87.5*9+112.5*4)/(8+32+29+9+4)</f>
        <v>53.048780487804876</v>
      </c>
    </row>
    <row r="14" spans="2:9" x14ac:dyDescent="0.35">
      <c r="D14" t="s">
        <v>50</v>
      </c>
      <c r="F14" cm="1">
        <f t="array" ref="F14">SQRT(SUMPRODUCT(D3:D7,(C3:C7-E12)^2)/SUM(D3:D7))</f>
        <v>24.269901282635814</v>
      </c>
    </row>
    <row r="16" spans="2:9" x14ac:dyDescent="0.35">
      <c r="C16" t="s">
        <v>35</v>
      </c>
      <c r="D16" t="s">
        <v>51</v>
      </c>
    </row>
    <row r="17" spans="3:9" x14ac:dyDescent="0.35">
      <c r="D17">
        <f>D3</f>
        <v>8</v>
      </c>
      <c r="G17" t="s">
        <v>15</v>
      </c>
      <c r="H17">
        <f>25 + (0.25*82 - 8)/32 * 25</f>
        <v>34.765625</v>
      </c>
    </row>
    <row r="18" spans="3:9" x14ac:dyDescent="0.35">
      <c r="D18">
        <f>D3+D4</f>
        <v>40</v>
      </c>
      <c r="G18" t="s">
        <v>16</v>
      </c>
      <c r="H18">
        <f>50 + (0.75*82 - 40)/29 * 25</f>
        <v>68.534482758620697</v>
      </c>
    </row>
    <row r="19" spans="3:9" x14ac:dyDescent="0.35">
      <c r="D19">
        <f>D18+D5</f>
        <v>69</v>
      </c>
      <c r="G19" t="s">
        <v>52</v>
      </c>
      <c r="I19">
        <f>H18-H17</f>
        <v>33.768857758620697</v>
      </c>
    </row>
    <row r="20" spans="3:9" x14ac:dyDescent="0.35">
      <c r="D20">
        <f>D19+D6</f>
        <v>78</v>
      </c>
    </row>
    <row r="21" spans="3:9" x14ac:dyDescent="0.35">
      <c r="D21">
        <f>D20+D7</f>
        <v>82</v>
      </c>
    </row>
    <row r="23" spans="3:9" x14ac:dyDescent="0.35">
      <c r="C23" t="s">
        <v>53</v>
      </c>
      <c r="D23" cm="1">
        <f t="array" ref="D23">SUMPRODUCT(D3:D7,(C3:C7-E12)^3)/(SUM(D3:D7)*F14^3)</f>
        <v>0.49421693384205917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6580-0A62-4208-BE80-5E428BC9001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4C02-9F9B-4ABC-B846-1263F3191B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D99F-279F-412F-9697-9EFBEE4FD1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D218-4439-4DD0-96D5-536F9595284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11</vt:i4>
      </vt:variant>
    </vt:vector>
  </HeadingPairs>
  <TitlesOfParts>
    <vt:vector size="11" baseType="lpstr">
      <vt:lpstr>zapocty001</vt:lpstr>
      <vt:lpstr>claude01</vt:lpstr>
      <vt:lpstr>claude02</vt:lpstr>
      <vt:lpstr>zapocty002</vt:lpstr>
      <vt:lpstr>claude003</vt:lpstr>
      <vt:lpstr>zapocty003</vt:lpstr>
      <vt:lpstr>zapocty004</vt:lpstr>
      <vt:lpstr>Hárok01</vt:lpstr>
      <vt:lpstr>Hárok02</vt:lpstr>
      <vt:lpstr>Hárok03</vt:lpstr>
      <vt:lpstr>Hárok04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Andrej Duplinský</dc:creator>
  <cp:lastModifiedBy>Michal Andrej Duplinský</cp:lastModifiedBy>
  <dcterms:created xsi:type="dcterms:W3CDTF">2026-06-22T13:25:23Z</dcterms:created>
  <dcterms:modified xsi:type="dcterms:W3CDTF">2026-06-24T00:48:21Z</dcterms:modified>
</cp:coreProperties>
</file>